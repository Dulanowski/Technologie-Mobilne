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filterPrivacy="1" defaultThemeVersion="124226"/>
  <xr:revisionPtr revIDLastSave="0" documentId="8_{4BF6CF98-D5C8-4100-BD71-5EF22137E30D}" xr6:coauthVersionLast="47" xr6:coauthVersionMax="47" xr10:uidLastSave="{00000000-0000-0000-0000-000000000000}"/>
  <bookViews>
    <workbookView xWindow="-60" yWindow="-60" windowWidth="15480" windowHeight="11640" xr2:uid="{F22C4F38-9908-4BB9-81EA-88CB846E72B1}"/>
  </bookViews>
  <sheets>
    <sheet name="Arkusz1" sheetId="1" r:id="rId1"/>
    <sheet name="Arkusz2" sheetId="2" r:id="rId2"/>
    <sheet name="Arkusz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M2" i="1"/>
  <c r="L2" i="1"/>
  <c r="K2" i="1"/>
  <c r="J2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H2" i="1"/>
  <c r="H3" i="1"/>
  <c r="H5" i="1"/>
  <c r="I2" i="1"/>
  <c r="D3" i="1"/>
  <c r="D2" i="1"/>
  <c r="G3" i="1" l="1"/>
  <c r="D4" i="1"/>
  <c r="G4" i="1" l="1"/>
  <c r="D5" i="1"/>
  <c r="G5" i="1" l="1"/>
  <c r="D6" i="1"/>
  <c r="G6" i="1" l="1"/>
  <c r="D7" i="1"/>
  <c r="G7" i="1" l="1"/>
  <c r="D8" i="1"/>
  <c r="G8" i="1" l="1"/>
  <c r="D9" i="1"/>
  <c r="G9" i="1" l="1"/>
  <c r="D10" i="1"/>
  <c r="G10" i="1" l="1"/>
  <c r="D11" i="1"/>
  <c r="G11" i="1" l="1"/>
  <c r="D12" i="1"/>
  <c r="G12" i="1" l="1"/>
  <c r="D13" i="1"/>
  <c r="G13" i="1" l="1"/>
  <c r="D14" i="1"/>
  <c r="G14" i="1" l="1"/>
  <c r="D15" i="1"/>
  <c r="G15" i="1" l="1"/>
  <c r="D16" i="1"/>
  <c r="G16" i="1" l="1"/>
  <c r="D17" i="1"/>
  <c r="G17" i="1" l="1"/>
  <c r="D18" i="1"/>
  <c r="G18" i="1" l="1"/>
  <c r="D19" i="1"/>
  <c r="G19" i="1" l="1"/>
  <c r="D20" i="1"/>
  <c r="G20" i="1" l="1"/>
  <c r="D21" i="1"/>
  <c r="G21" i="1" l="1"/>
  <c r="D22" i="1"/>
  <c r="G22" i="1" l="1"/>
  <c r="D23" i="1"/>
  <c r="G23" i="1" l="1"/>
  <c r="D24" i="1"/>
  <c r="G24" i="1" l="1"/>
  <c r="D25" i="1"/>
  <c r="G25" i="1" l="1"/>
  <c r="D26" i="1"/>
  <c r="G26" i="1" l="1"/>
  <c r="D27" i="1"/>
  <c r="G27" i="1" l="1"/>
  <c r="D28" i="1"/>
  <c r="G28" i="1" l="1"/>
  <c r="D29" i="1"/>
  <c r="G29" i="1" l="1"/>
  <c r="D30" i="1"/>
  <c r="G30" i="1" l="1"/>
  <c r="D31" i="1"/>
  <c r="G31" i="1" l="1"/>
  <c r="D32" i="1"/>
  <c r="G32" i="1" l="1"/>
  <c r="D33" i="1"/>
  <c r="H15" i="1"/>
  <c r="H17" i="1"/>
  <c r="H19" i="1"/>
  <c r="H21" i="1"/>
  <c r="H23" i="1"/>
  <c r="H25" i="1"/>
  <c r="H27" i="1"/>
  <c r="H29" i="1"/>
  <c r="H31" i="1"/>
  <c r="H4" i="1" l="1"/>
  <c r="H6" i="1"/>
  <c r="H7" i="1"/>
  <c r="I8" i="1"/>
  <c r="H8" i="1"/>
  <c r="I9" i="1"/>
  <c r="H9" i="1"/>
  <c r="H10" i="1"/>
  <c r="H11" i="1"/>
  <c r="H12" i="1"/>
  <c r="H13" i="1"/>
  <c r="H14" i="1"/>
  <c r="G33" i="1"/>
  <c r="H33" i="1" s="1"/>
  <c r="H16" i="1"/>
  <c r="H18" i="1"/>
  <c r="H20" i="1"/>
  <c r="H22" i="1"/>
  <c r="H24" i="1"/>
  <c r="H26" i="1"/>
  <c r="H28" i="1"/>
  <c r="H30" i="1"/>
  <c r="H32" i="1"/>
</calcChain>
</file>

<file path=xl/sharedStrings.xml><?xml version="1.0" encoding="utf-8"?>
<sst xmlns="http://schemas.openxmlformats.org/spreadsheetml/2006/main" count="12" uniqueCount="12">
  <si>
    <t>Nr studenta</t>
  </si>
  <si>
    <t>czas przybycia</t>
  </si>
  <si>
    <t>czas obsługi</t>
  </si>
  <si>
    <t>moment przybycia</t>
  </si>
  <si>
    <t>liczba stanowisk obsługi r</t>
  </si>
  <si>
    <t>czas 
(w min.)</t>
  </si>
  <si>
    <t>l</t>
  </si>
  <si>
    <t>m</t>
  </si>
  <si>
    <t>r</t>
  </si>
  <si>
    <t>P(n=0)</t>
  </si>
  <si>
    <t>Q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</si>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</sst>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Arkusz1!$I$2:$I$7</c:f>
              <c:numCache>
                <c:formatCode>General</c:formatCode>
                <c:ptCount val="6"/>
                <c:pt idx="0">
                  <c:v>1.0909090909090908</c:v>
                </c:pt>
                <c:pt idx="1">
                  <c:v>1.0909090909090908</c:v>
                </c:pt>
                <c:pt idx="2">
                  <c:v>1.0909090909090908</c:v>
                </c:pt>
                <c:pt idx="3">
                  <c:v>1.0666666666666667</c:v>
                </c:pt>
                <c:pt idx="4">
                  <c:v>1.125</c:v>
                </c:pt>
                <c:pt idx="5">
                  <c:v>1.125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4D-43A4-98D6-3687C7D9B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960904"/>
        <c:axId val="138962952"/>
      </c:lineChart>
      <c:catAx>
        <c:axId val="138960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62952"/>
        <c:crosses val="autoZero"/>
        <c:auto val="1"/>
        <c:lblAlgn val="ctr"/>
        <c:lblOffset val="100"/>
        <c:noMultiLvlLbl val="0"/>
      </c:catAx>
      <c:valAx>
        <c:axId val="13896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6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Arkusz1!$G$1</c:f>
              <c:strCache>
                <c:ptCount val="1"/>
                <c:pt idx="0">
                  <c:v>czas 
(w min.)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Arkusz1!$G$2:$G$33</c:f>
              <c:numCache>
                <c:formatCode>General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14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16</c:v>
                </c:pt>
                <c:pt idx="28">
                  <c:v>17</c:v>
                </c:pt>
                <c:pt idx="29">
                  <c:v>18</c:v>
                </c:pt>
                <c:pt idx="30">
                  <c:v>19</c:v>
                </c:pt>
                <c:pt idx="3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D-480E-B956-61818B0FAAEE}"/>
            </c:ext>
          </c:extLst>
        </c:ser>
        <c:ser>
          <c:idx val="1"/>
          <c:order val="1"/>
          <c:tx>
            <c:strRef>
              <c:f>Arkusz1!$H$1</c:f>
              <c:strCache>
                <c:ptCount val="1"/>
                <c:pt idx="0">
                  <c:v>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Arkusz1!$H$2:$H$33</c:f>
              <c:numCache>
                <c:formatCode>General</c:formatCode>
                <c:ptCount val="3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2.75</c:v>
                </c:pt>
                <c:pt idx="7">
                  <c:v>2.75</c:v>
                </c:pt>
                <c:pt idx="8">
                  <c:v>2.75</c:v>
                </c:pt>
                <c:pt idx="9">
                  <c:v>2.75</c:v>
                </c:pt>
                <c:pt idx="10">
                  <c:v>2.75</c:v>
                </c:pt>
                <c:pt idx="11">
                  <c:v>2.6</c:v>
                </c:pt>
                <c:pt idx="12">
                  <c:v>2.6</c:v>
                </c:pt>
                <c:pt idx="13">
                  <c:v>2.3333333333333335</c:v>
                </c:pt>
                <c:pt idx="14">
                  <c:v>2.1428571428571428</c:v>
                </c:pt>
                <c:pt idx="15">
                  <c:v>2.125</c:v>
                </c:pt>
                <c:pt idx="16">
                  <c:v>2.125</c:v>
                </c:pt>
                <c:pt idx="17">
                  <c:v>2</c:v>
                </c:pt>
                <c:pt idx="18">
                  <c:v>1.9</c:v>
                </c:pt>
                <c:pt idx="19">
                  <c:v>1.8181818181818181</c:v>
                </c:pt>
                <c:pt idx="20">
                  <c:v>1.75</c:v>
                </c:pt>
                <c:pt idx="21">
                  <c:v>1.6923076923076923</c:v>
                </c:pt>
                <c:pt idx="22">
                  <c:v>1.7142857142857142</c:v>
                </c:pt>
                <c:pt idx="23">
                  <c:v>1.7142857142857142</c:v>
                </c:pt>
                <c:pt idx="24">
                  <c:v>1.7333333333333334</c:v>
                </c:pt>
                <c:pt idx="25">
                  <c:v>1.7333333333333334</c:v>
                </c:pt>
                <c:pt idx="26">
                  <c:v>1.75</c:v>
                </c:pt>
                <c:pt idx="27">
                  <c:v>1.75</c:v>
                </c:pt>
                <c:pt idx="28">
                  <c:v>1.7058823529411764</c:v>
                </c:pt>
                <c:pt idx="29">
                  <c:v>1.6666666666666667</c:v>
                </c:pt>
                <c:pt idx="30">
                  <c:v>1.6842105263157894</c:v>
                </c:pt>
                <c:pt idx="31">
                  <c:v>1.6842105263157894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2D-480E-B956-61818B0FAAEE}"/>
            </c:ext>
          </c:extLst>
        </c:ser>
        <c:ser>
          <c:idx val="2"/>
          <c:order val="2"/>
          <c:tx>
            <c:strRef>
              <c:f>Arkusz1!$I$1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Arkusz1!$I$2:$I$33</c:f>
              <c:numCache>
                <c:formatCode>General</c:formatCode>
                <c:ptCount val="32"/>
                <c:pt idx="0">
                  <c:v>1.0909090909090908</c:v>
                </c:pt>
                <c:pt idx="1">
                  <c:v>1.0909090909090908</c:v>
                </c:pt>
                <c:pt idx="2">
                  <c:v>1.0909090909090908</c:v>
                </c:pt>
                <c:pt idx="3">
                  <c:v>1.0666666666666667</c:v>
                </c:pt>
                <c:pt idx="4">
                  <c:v>1.125</c:v>
                </c:pt>
                <c:pt idx="5">
                  <c:v>1.125</c:v>
                </c:pt>
                <c:pt idx="6">
                  <c:v>1.03125</c:v>
                </c:pt>
                <c:pt idx="7">
                  <c:v>1.03125</c:v>
                </c:pt>
                <c:pt idx="8">
                  <c:v>1.03125</c:v>
                </c:pt>
                <c:pt idx="9">
                  <c:v>1.03125</c:v>
                </c:pt>
                <c:pt idx="10">
                  <c:v>1.03125</c:v>
                </c:pt>
                <c:pt idx="11">
                  <c:v>1.0064516129032259</c:v>
                </c:pt>
                <c:pt idx="12">
                  <c:v>1.0064516129032259</c:v>
                </c:pt>
                <c:pt idx="13">
                  <c:v>0.98823529411764699</c:v>
                </c:pt>
                <c:pt idx="14">
                  <c:v>0.98901098901098905</c:v>
                </c:pt>
                <c:pt idx="15">
                  <c:v>0.99512195121951219</c:v>
                </c:pt>
                <c:pt idx="16">
                  <c:v>0.99512195121951219</c:v>
                </c:pt>
                <c:pt idx="17">
                  <c:v>0.99082568807339444</c:v>
                </c:pt>
                <c:pt idx="18">
                  <c:v>0.98701298701298701</c:v>
                </c:pt>
                <c:pt idx="19">
                  <c:v>0.97560975609756095</c:v>
                </c:pt>
                <c:pt idx="20">
                  <c:v>0.96923076923076923</c:v>
                </c:pt>
                <c:pt idx="21">
                  <c:v>0.97058823529411764</c:v>
                </c:pt>
                <c:pt idx="22">
                  <c:v>0.96839273705447204</c:v>
                </c:pt>
                <c:pt idx="23">
                  <c:v>0.96839273705447204</c:v>
                </c:pt>
                <c:pt idx="24">
                  <c:v>0.98298676748582225</c:v>
                </c:pt>
                <c:pt idx="25">
                  <c:v>0.98298676748582225</c:v>
                </c:pt>
                <c:pt idx="26">
                  <c:v>0.97845078625509618</c:v>
                </c:pt>
                <c:pt idx="27">
                  <c:v>0.97845078625509618</c:v>
                </c:pt>
                <c:pt idx="28">
                  <c:v>0.97917839054586386</c:v>
                </c:pt>
                <c:pt idx="29">
                  <c:v>0.99064391854705558</c:v>
                </c:pt>
                <c:pt idx="30">
                  <c:v>0.98613251155624038</c:v>
                </c:pt>
                <c:pt idx="31">
                  <c:v>0.98613251155624038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2D-480E-B956-61818B0FAAEE}"/>
            </c:ext>
          </c:extLst>
        </c:ser>
        <c:ser>
          <c:idx val="3"/>
          <c:order val="3"/>
          <c:tx>
            <c:strRef>
              <c:f>Arkusz1!$J$1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Arkusz1!$J$2:$J$33</c:f>
              <c:numCache>
                <c:formatCode>General</c:formatCode>
                <c:ptCount val="32"/>
                <c:pt idx="0">
                  <c:v>1.375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2D-480E-B956-61818B0FAAEE}"/>
            </c:ext>
          </c:extLst>
        </c:ser>
        <c:ser>
          <c:idx val="4"/>
          <c:order val="4"/>
          <c:tx>
            <c:strRef>
              <c:f>Arkusz1!$K$1</c:f>
              <c:strCache>
                <c:ptCount val="1"/>
                <c:pt idx="0">
                  <c:v>P(n=0)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Arkusz1!$K$2:$K$33</c:f>
              <c:numCache>
                <c:formatCode>General</c:formatCode>
                <c:ptCount val="32"/>
                <c:pt idx="0">
                  <c:v>-0.15789473684210525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A2D-480E-B956-61818B0FAAEE}"/>
            </c:ext>
          </c:extLst>
        </c:ser>
        <c:ser>
          <c:idx val="5"/>
          <c:order val="5"/>
          <c:tx>
            <c:strRef>
              <c:f>Arkusz1!$L$1</c:f>
              <c:strCache>
                <c:ptCount val="1"/>
                <c:pt idx="0">
                  <c:v>Q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Arkusz1!$L$2:$L$33</c:f>
              <c:numCache>
                <c:formatCode>General</c:formatCode>
                <c:ptCount val="32"/>
                <c:pt idx="0">
                  <c:v>-5.8377192982456139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A2D-480E-B956-61818B0FAAEE}"/>
            </c:ext>
          </c:extLst>
        </c:ser>
        <c:ser>
          <c:idx val="6"/>
          <c:order val="6"/>
          <c:tx>
            <c:strRef>
              <c:f>Arkusz1!$M$1</c:f>
              <c:strCache>
                <c:ptCount val="1"/>
                <c:pt idx="0">
                  <c:v>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Arkusz1!$M$2:$M$33</c:f>
              <c:numCache>
                <c:formatCode>General</c:formatCode>
                <c:ptCount val="32"/>
                <c:pt idx="0">
                  <c:v>-116.75438596491229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A2D-480E-B956-61818B0FA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623240"/>
        <c:axId val="1928093703"/>
      </c:lineChart>
      <c:catAx>
        <c:axId val="230623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093703"/>
        <c:crosses val="autoZero"/>
        <c:auto val="1"/>
        <c:lblAlgn val="ctr"/>
        <c:lblOffset val="100"/>
        <c:noMultiLvlLbl val="0"/>
      </c:catAx>
      <c:valAx>
        <c:axId val="1928093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623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6</xdr:row>
      <xdr:rowOff>142875</xdr:rowOff>
    </xdr:from>
    <xdr:to>
      <xdr:col>20</xdr:col>
      <xdr:colOff>552450</xdr:colOff>
      <xdr:row>21</xdr:row>
      <xdr:rowOff>28575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C42A5C3-F76C-9EEB-D9F2-EAFE17923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590550</xdr:colOff>
      <xdr:row>0</xdr:row>
      <xdr:rowOff>0</xdr:rowOff>
    </xdr:from>
    <xdr:to>
      <xdr:col>21</xdr:col>
      <xdr:colOff>285750</xdr:colOff>
      <xdr:row>12</xdr:row>
      <xdr:rowOff>38100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368BF880-0D55-D2B8-85CF-1CEF58FA79ED}"/>
            </a:ext>
            <a:ext uri="{147F2762-F138-4A5C-976F-8EAC2B608ADB}">
              <a16:predDERef xmlns:a16="http://schemas.microsoft.com/office/drawing/2014/main" pred="{5C42A5C3-F76C-9EEB-D9F2-EAFE17923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FD49-0DAB-40A8-A8FC-961BE8D42660}">
  <dimension ref="A1:M33"/>
  <sheetViews>
    <sheetView tabSelected="1" topLeftCell="B1" workbookViewId="0">
      <selection activeCell="J2" sqref="J2"/>
    </sheetView>
  </sheetViews>
  <sheetFormatPr defaultRowHeight="15"/>
  <cols>
    <col min="1" max="1" width="10.42578125" customWidth="1"/>
    <col min="5" max="5" width="9.7109375" customWidth="1"/>
    <col min="8" max="8" width="36.5703125" bestFit="1" customWidth="1"/>
  </cols>
  <sheetData>
    <row r="1" spans="1:13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2" t="s">
        <v>6</v>
      </c>
      <c r="I1" s="2" t="s">
        <v>7</v>
      </c>
      <c r="J1" s="2" t="s">
        <v>8</v>
      </c>
      <c r="K1" s="1" t="s">
        <v>9</v>
      </c>
      <c r="L1" s="1" t="s">
        <v>10</v>
      </c>
      <c r="M1" s="1" t="s">
        <v>11</v>
      </c>
    </row>
    <row r="2" spans="1:13">
      <c r="A2">
        <v>1</v>
      </c>
      <c r="B2">
        <v>0</v>
      </c>
      <c r="C2">
        <v>40</v>
      </c>
      <c r="D2">
        <f>B2</f>
        <v>0</v>
      </c>
      <c r="E2">
        <v>2</v>
      </c>
      <c r="G2">
        <v>1</v>
      </c>
      <c r="H2" s="3">
        <f>COUNTIF($D$2:$D$33, "&lt;=" &amp; (G2*60)) / G2</f>
        <v>3</v>
      </c>
      <c r="I2">
        <f>IFERROR(60 / AVERAGEIF($D$2:$D$33, "&lt;=" &amp; (G2*60), $C$2:$C$33), 0)</f>
        <v>1.0909090909090908</v>
      </c>
      <c r="J2">
        <f>H2/(I2*E2)</f>
        <v>1.375</v>
      </c>
      <c r="K2">
        <f>1 / ( (1) + (H2/I2) + ( (H2/I2)^$E$2 / (FACT($E$2) * (1-J2)) ) )</f>
        <v>-0.15789473684210525</v>
      </c>
      <c r="L2">
        <f>(K2 * (H2/I2)^$E$2 * J2) / (FACT($E$2) * (1-J2)^2)</f>
        <v>-5.8377192982456139</v>
      </c>
      <c r="M2">
        <f>(L2 / H2)*60</f>
        <v>-116.75438596491229</v>
      </c>
    </row>
    <row r="3" spans="1:13">
      <c r="A3">
        <v>2</v>
      </c>
      <c r="B3">
        <v>6</v>
      </c>
      <c r="C3">
        <v>60</v>
      </c>
      <c r="D3">
        <f>D2 + B3</f>
        <v>6</v>
      </c>
      <c r="G3">
        <f t="shared" ref="G3:G33" si="0">ROUNDUP(D3/60, 0)</f>
        <v>1</v>
      </c>
      <c r="H3" s="3">
        <f>COUNTIF($D$2:$D$33, "&lt;=" &amp; (G3*60)) / G3</f>
        <v>3</v>
      </c>
      <c r="I3">
        <f t="shared" ref="I3:I7" si="1">IFERROR(60 / AVERAGEIF($D$2:$D$33, "&lt;=" &amp; (G3*60), $C$2:$C$33), 0)</f>
        <v>1.0909090909090908</v>
      </c>
    </row>
    <row r="4" spans="1:13">
      <c r="A4">
        <v>3</v>
      </c>
      <c r="B4">
        <v>40</v>
      </c>
      <c r="C4">
        <v>65</v>
      </c>
      <c r="D4">
        <f t="shared" ref="D4:D33" si="2">D3 + B4</f>
        <v>46</v>
      </c>
      <c r="G4">
        <f t="shared" si="0"/>
        <v>1</v>
      </c>
      <c r="H4" s="3">
        <f t="shared" ref="H3:H4" si="3">COUNTIF($D$2:$D$33, "&lt;=" &amp; (G4*60)) / G4</f>
        <v>3</v>
      </c>
      <c r="I4">
        <f t="shared" si="1"/>
        <v>1.0909090909090908</v>
      </c>
    </row>
    <row r="5" spans="1:13">
      <c r="A5">
        <v>4</v>
      </c>
      <c r="B5">
        <v>30</v>
      </c>
      <c r="C5">
        <v>60</v>
      </c>
      <c r="D5">
        <f t="shared" si="2"/>
        <v>76</v>
      </c>
      <c r="G5">
        <f t="shared" si="0"/>
        <v>2</v>
      </c>
      <c r="H5">
        <f t="shared" ref="H3:H33" si="4">COUNTIF($D$2:$D$33, "&lt;=" &amp; (G5*60)) / G5</f>
        <v>2</v>
      </c>
      <c r="I5">
        <f t="shared" si="1"/>
        <v>1.0666666666666667</v>
      </c>
    </row>
    <row r="6" spans="1:13">
      <c r="A6">
        <v>5</v>
      </c>
      <c r="B6">
        <v>50</v>
      </c>
      <c r="C6">
        <v>40</v>
      </c>
      <c r="D6">
        <f t="shared" si="2"/>
        <v>126</v>
      </c>
      <c r="G6">
        <f t="shared" si="0"/>
        <v>3</v>
      </c>
      <c r="H6">
        <f t="shared" si="4"/>
        <v>2</v>
      </c>
      <c r="I6">
        <f t="shared" si="1"/>
        <v>1.125</v>
      </c>
    </row>
    <row r="7" spans="1:13">
      <c r="A7">
        <v>6</v>
      </c>
      <c r="B7">
        <v>30</v>
      </c>
      <c r="C7">
        <v>55</v>
      </c>
      <c r="D7">
        <f t="shared" si="2"/>
        <v>156</v>
      </c>
      <c r="G7">
        <f t="shared" si="0"/>
        <v>3</v>
      </c>
      <c r="H7">
        <f t="shared" si="4"/>
        <v>2</v>
      </c>
      <c r="I7">
        <f t="shared" si="1"/>
        <v>1.125</v>
      </c>
    </row>
    <row r="8" spans="1:13">
      <c r="A8">
        <v>7</v>
      </c>
      <c r="B8">
        <v>25</v>
      </c>
      <c r="C8">
        <v>65</v>
      </c>
      <c r="D8">
        <f t="shared" si="2"/>
        <v>181</v>
      </c>
      <c r="G8">
        <f t="shared" si="0"/>
        <v>4</v>
      </c>
      <c r="H8">
        <f t="shared" si="4"/>
        <v>2.75</v>
      </c>
      <c r="I8">
        <f t="shared" ref="I3:I33" si="5">60 / AVERAGEIF($D$2:$D$33, "&lt;=" &amp; (G8*60), $C$2:$C$33)</f>
        <v>1.03125</v>
      </c>
    </row>
    <row r="9" spans="1:13">
      <c r="A9">
        <v>8</v>
      </c>
      <c r="B9">
        <v>5</v>
      </c>
      <c r="C9">
        <v>60</v>
      </c>
      <c r="D9">
        <f t="shared" si="2"/>
        <v>186</v>
      </c>
      <c r="G9">
        <f t="shared" si="0"/>
        <v>4</v>
      </c>
      <c r="H9">
        <f t="shared" si="4"/>
        <v>2.75</v>
      </c>
      <c r="I9">
        <f t="shared" si="5"/>
        <v>1.03125</v>
      </c>
    </row>
    <row r="10" spans="1:13">
      <c r="A10">
        <v>9</v>
      </c>
      <c r="B10">
        <v>15</v>
      </c>
      <c r="C10">
        <v>60</v>
      </c>
      <c r="D10">
        <f t="shared" si="2"/>
        <v>201</v>
      </c>
      <c r="G10">
        <f t="shared" si="0"/>
        <v>4</v>
      </c>
      <c r="H10">
        <f t="shared" si="4"/>
        <v>2.75</v>
      </c>
      <c r="I10">
        <f t="shared" si="5"/>
        <v>1.03125</v>
      </c>
    </row>
    <row r="11" spans="1:13">
      <c r="A11">
        <v>10</v>
      </c>
      <c r="B11">
        <v>15</v>
      </c>
      <c r="C11">
        <v>70</v>
      </c>
      <c r="D11">
        <f t="shared" si="2"/>
        <v>216</v>
      </c>
      <c r="G11">
        <f t="shared" si="0"/>
        <v>4</v>
      </c>
      <c r="H11">
        <f t="shared" si="4"/>
        <v>2.75</v>
      </c>
      <c r="I11">
        <f t="shared" si="5"/>
        <v>1.03125</v>
      </c>
    </row>
    <row r="12" spans="1:13">
      <c r="A12">
        <v>11</v>
      </c>
      <c r="B12">
        <v>10</v>
      </c>
      <c r="C12">
        <v>65</v>
      </c>
      <c r="D12">
        <f t="shared" si="2"/>
        <v>226</v>
      </c>
      <c r="G12">
        <f t="shared" si="0"/>
        <v>4</v>
      </c>
      <c r="H12">
        <f t="shared" si="4"/>
        <v>2.75</v>
      </c>
      <c r="I12">
        <f t="shared" si="5"/>
        <v>1.03125</v>
      </c>
    </row>
    <row r="13" spans="1:13">
      <c r="A13">
        <v>12</v>
      </c>
      <c r="B13">
        <v>30</v>
      </c>
      <c r="C13">
        <v>70</v>
      </c>
      <c r="D13">
        <f t="shared" si="2"/>
        <v>256</v>
      </c>
      <c r="G13">
        <f t="shared" si="0"/>
        <v>5</v>
      </c>
      <c r="H13">
        <f t="shared" si="4"/>
        <v>2.6</v>
      </c>
      <c r="I13">
        <f t="shared" si="5"/>
        <v>1.0064516129032259</v>
      </c>
    </row>
    <row r="14" spans="1:13">
      <c r="A14">
        <v>13</v>
      </c>
      <c r="B14">
        <v>40</v>
      </c>
      <c r="C14">
        <v>65</v>
      </c>
      <c r="D14">
        <f t="shared" si="2"/>
        <v>296</v>
      </c>
      <c r="G14">
        <f t="shared" si="0"/>
        <v>5</v>
      </c>
      <c r="H14">
        <f t="shared" si="4"/>
        <v>2.6</v>
      </c>
      <c r="I14">
        <f t="shared" si="5"/>
        <v>1.0064516129032259</v>
      </c>
    </row>
    <row r="15" spans="1:13">
      <c r="A15">
        <v>14</v>
      </c>
      <c r="B15">
        <v>40</v>
      </c>
      <c r="C15">
        <v>75</v>
      </c>
      <c r="D15">
        <f t="shared" si="2"/>
        <v>336</v>
      </c>
      <c r="G15">
        <f t="shared" si="0"/>
        <v>6</v>
      </c>
      <c r="H15">
        <f t="shared" si="4"/>
        <v>2.3333333333333335</v>
      </c>
      <c r="I15">
        <f t="shared" si="5"/>
        <v>0.98823529411764699</v>
      </c>
    </row>
    <row r="16" spans="1:13">
      <c r="A16">
        <v>15</v>
      </c>
      <c r="B16">
        <v>40</v>
      </c>
      <c r="C16">
        <v>60</v>
      </c>
      <c r="D16">
        <f t="shared" si="2"/>
        <v>376</v>
      </c>
      <c r="G16">
        <f t="shared" si="0"/>
        <v>7</v>
      </c>
      <c r="H16">
        <f t="shared" si="4"/>
        <v>2.1428571428571428</v>
      </c>
      <c r="I16">
        <f t="shared" si="5"/>
        <v>0.98901098901098905</v>
      </c>
    </row>
    <row r="17" spans="1:9">
      <c r="A17">
        <v>16</v>
      </c>
      <c r="B17">
        <v>50</v>
      </c>
      <c r="C17">
        <v>50</v>
      </c>
      <c r="D17">
        <f t="shared" si="2"/>
        <v>426</v>
      </c>
      <c r="G17">
        <f t="shared" si="0"/>
        <v>8</v>
      </c>
      <c r="H17">
        <f t="shared" si="4"/>
        <v>2.125</v>
      </c>
      <c r="I17">
        <f t="shared" si="5"/>
        <v>0.99512195121951219</v>
      </c>
    </row>
    <row r="18" spans="1:9">
      <c r="A18">
        <v>17</v>
      </c>
      <c r="B18">
        <v>50</v>
      </c>
      <c r="C18">
        <v>65</v>
      </c>
      <c r="D18">
        <f t="shared" si="2"/>
        <v>476</v>
      </c>
      <c r="G18">
        <f t="shared" si="0"/>
        <v>8</v>
      </c>
      <c r="H18">
        <f t="shared" si="4"/>
        <v>2.125</v>
      </c>
      <c r="I18">
        <f t="shared" si="5"/>
        <v>0.99512195121951219</v>
      </c>
    </row>
    <row r="19" spans="1:9">
      <c r="A19">
        <v>18</v>
      </c>
      <c r="B19">
        <v>55</v>
      </c>
      <c r="C19">
        <v>65</v>
      </c>
      <c r="D19">
        <f t="shared" si="2"/>
        <v>531</v>
      </c>
      <c r="G19">
        <f t="shared" si="0"/>
        <v>9</v>
      </c>
      <c r="H19">
        <f t="shared" si="4"/>
        <v>2</v>
      </c>
      <c r="I19">
        <f t="shared" si="5"/>
        <v>0.99082568807339444</v>
      </c>
    </row>
    <row r="20" spans="1:9">
      <c r="A20">
        <v>19</v>
      </c>
      <c r="B20">
        <v>45</v>
      </c>
      <c r="C20">
        <v>65</v>
      </c>
      <c r="D20">
        <f t="shared" si="2"/>
        <v>576</v>
      </c>
      <c r="G20">
        <f t="shared" si="0"/>
        <v>10</v>
      </c>
      <c r="H20">
        <f t="shared" si="4"/>
        <v>1.9</v>
      </c>
      <c r="I20">
        <f t="shared" si="5"/>
        <v>0.98701298701298701</v>
      </c>
    </row>
    <row r="21" spans="1:9">
      <c r="A21">
        <v>20</v>
      </c>
      <c r="B21">
        <v>55</v>
      </c>
      <c r="C21">
        <v>75</v>
      </c>
      <c r="D21">
        <f t="shared" si="2"/>
        <v>631</v>
      </c>
      <c r="G21">
        <f t="shared" si="0"/>
        <v>11</v>
      </c>
      <c r="H21">
        <f t="shared" si="4"/>
        <v>1.8181818181818181</v>
      </c>
      <c r="I21">
        <f t="shared" si="5"/>
        <v>0.97560975609756095</v>
      </c>
    </row>
    <row r="22" spans="1:9">
      <c r="A22">
        <v>21</v>
      </c>
      <c r="B22">
        <v>55</v>
      </c>
      <c r="C22">
        <v>70</v>
      </c>
      <c r="D22">
        <f t="shared" si="2"/>
        <v>686</v>
      </c>
      <c r="G22">
        <f t="shared" si="0"/>
        <v>12</v>
      </c>
      <c r="H22">
        <f t="shared" si="4"/>
        <v>1.75</v>
      </c>
      <c r="I22">
        <f t="shared" si="5"/>
        <v>0.96923076923076923</v>
      </c>
    </row>
    <row r="23" spans="1:9">
      <c r="A23">
        <v>22</v>
      </c>
      <c r="B23">
        <v>50</v>
      </c>
      <c r="C23">
        <v>60</v>
      </c>
      <c r="D23">
        <f t="shared" si="2"/>
        <v>736</v>
      </c>
      <c r="G23">
        <f t="shared" si="0"/>
        <v>13</v>
      </c>
      <c r="H23">
        <f t="shared" si="4"/>
        <v>1.6923076923076923</v>
      </c>
      <c r="I23">
        <f t="shared" si="5"/>
        <v>0.97058823529411764</v>
      </c>
    </row>
    <row r="24" spans="1:9">
      <c r="A24">
        <v>23</v>
      </c>
      <c r="B24">
        <v>45</v>
      </c>
      <c r="C24">
        <v>65</v>
      </c>
      <c r="D24">
        <f t="shared" si="2"/>
        <v>781</v>
      </c>
      <c r="G24">
        <f t="shared" si="0"/>
        <v>14</v>
      </c>
      <c r="H24">
        <f t="shared" si="4"/>
        <v>1.7142857142857142</v>
      </c>
      <c r="I24">
        <f t="shared" si="5"/>
        <v>0.96839273705447204</v>
      </c>
    </row>
    <row r="25" spans="1:9">
      <c r="A25">
        <v>24</v>
      </c>
      <c r="B25">
        <v>45</v>
      </c>
      <c r="C25">
        <v>62</v>
      </c>
      <c r="D25">
        <f t="shared" si="2"/>
        <v>826</v>
      </c>
      <c r="G25">
        <f t="shared" si="0"/>
        <v>14</v>
      </c>
      <c r="H25">
        <f t="shared" si="4"/>
        <v>1.7142857142857142</v>
      </c>
      <c r="I25">
        <f t="shared" si="5"/>
        <v>0.96839273705447204</v>
      </c>
    </row>
    <row r="26" spans="1:9">
      <c r="A26">
        <v>25</v>
      </c>
      <c r="B26">
        <v>50</v>
      </c>
      <c r="C26">
        <v>60</v>
      </c>
      <c r="D26">
        <f t="shared" si="2"/>
        <v>876</v>
      </c>
      <c r="G26">
        <f t="shared" si="0"/>
        <v>15</v>
      </c>
      <c r="H26">
        <f t="shared" si="4"/>
        <v>1.7333333333333334</v>
      </c>
      <c r="I26">
        <f t="shared" si="5"/>
        <v>0.98298676748582225</v>
      </c>
    </row>
    <row r="27" spans="1:9">
      <c r="A27">
        <v>26</v>
      </c>
      <c r="B27">
        <v>10</v>
      </c>
      <c r="C27">
        <v>40</v>
      </c>
      <c r="D27">
        <f t="shared" si="2"/>
        <v>886</v>
      </c>
      <c r="G27">
        <f t="shared" si="0"/>
        <v>15</v>
      </c>
      <c r="H27">
        <f t="shared" si="4"/>
        <v>1.7333333333333334</v>
      </c>
      <c r="I27">
        <f t="shared" si="5"/>
        <v>0.98298676748582225</v>
      </c>
    </row>
    <row r="28" spans="1:9">
      <c r="A28">
        <v>27</v>
      </c>
      <c r="B28">
        <v>25</v>
      </c>
      <c r="C28">
        <v>55</v>
      </c>
      <c r="D28">
        <f t="shared" si="2"/>
        <v>911</v>
      </c>
      <c r="G28">
        <f t="shared" si="0"/>
        <v>16</v>
      </c>
      <c r="H28">
        <f t="shared" si="4"/>
        <v>1.75</v>
      </c>
      <c r="I28">
        <f t="shared" si="5"/>
        <v>0.97845078625509618</v>
      </c>
    </row>
    <row r="29" spans="1:9">
      <c r="A29">
        <v>28</v>
      </c>
      <c r="B29">
        <v>25</v>
      </c>
      <c r="C29">
        <v>75</v>
      </c>
      <c r="D29">
        <f t="shared" si="2"/>
        <v>936</v>
      </c>
      <c r="G29">
        <f t="shared" si="0"/>
        <v>16</v>
      </c>
      <c r="H29">
        <f t="shared" si="4"/>
        <v>1.75</v>
      </c>
      <c r="I29">
        <f t="shared" si="5"/>
        <v>0.97845078625509618</v>
      </c>
    </row>
    <row r="30" spans="1:9">
      <c r="A30">
        <v>29</v>
      </c>
      <c r="B30">
        <v>55</v>
      </c>
      <c r="C30">
        <v>60</v>
      </c>
      <c r="D30">
        <f t="shared" si="2"/>
        <v>991</v>
      </c>
      <c r="G30">
        <f t="shared" si="0"/>
        <v>17</v>
      </c>
      <c r="H30">
        <f t="shared" si="4"/>
        <v>1.7058823529411764</v>
      </c>
      <c r="I30">
        <f t="shared" si="5"/>
        <v>0.97917839054586386</v>
      </c>
    </row>
    <row r="31" spans="1:9">
      <c r="A31">
        <v>30</v>
      </c>
      <c r="B31">
        <v>55</v>
      </c>
      <c r="C31">
        <v>40</v>
      </c>
      <c r="D31">
        <f t="shared" si="2"/>
        <v>1046</v>
      </c>
      <c r="G31">
        <f t="shared" si="0"/>
        <v>18</v>
      </c>
      <c r="H31">
        <f t="shared" si="4"/>
        <v>1.6666666666666667</v>
      </c>
      <c r="I31">
        <f t="shared" si="5"/>
        <v>0.99064391854705558</v>
      </c>
    </row>
    <row r="32" spans="1:9">
      <c r="A32">
        <v>31</v>
      </c>
      <c r="B32">
        <v>40</v>
      </c>
      <c r="C32">
        <v>70</v>
      </c>
      <c r="D32">
        <f t="shared" si="2"/>
        <v>1086</v>
      </c>
      <c r="G32">
        <f t="shared" si="0"/>
        <v>19</v>
      </c>
      <c r="H32">
        <f t="shared" si="4"/>
        <v>1.6842105263157894</v>
      </c>
      <c r="I32">
        <f t="shared" si="5"/>
        <v>0.98613251155624038</v>
      </c>
    </row>
    <row r="33" spans="1:9">
      <c r="A33">
        <v>32</v>
      </c>
      <c r="B33">
        <v>50</v>
      </c>
      <c r="C33">
        <v>60</v>
      </c>
      <c r="D33">
        <f t="shared" si="2"/>
        <v>1136</v>
      </c>
      <c r="G33">
        <f t="shared" si="0"/>
        <v>19</v>
      </c>
      <c r="H33">
        <f t="shared" si="4"/>
        <v>1.6842105263157894</v>
      </c>
      <c r="I33">
        <f t="shared" si="5"/>
        <v>0.98613251155624038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BEE9-1EFE-4DC3-A8FB-0DFE1DDA97FE}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B06A-1898-4AE2-98C1-29AE7DD002E7}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2006-09-22T13:37:51Z</dcterms:created>
  <dcterms:modified xsi:type="dcterms:W3CDTF">2026-03-02T12:01:30Z</dcterms:modified>
  <cp:category/>
  <cp:contentStatus/>
</cp:coreProperties>
</file>